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Carpeta Importante\SALUS\Salus IV\PCB_SalusIV\"/>
    </mc:Choice>
  </mc:AlternateContent>
  <xr:revisionPtr revIDLastSave="0" documentId="13_ncr:1_{B664A6F3-3353-42DD-BA0A-BA8AF492686B}" xr6:coauthVersionLast="47" xr6:coauthVersionMax="47" xr10:uidLastSave="{00000000-0000-0000-0000-000000000000}"/>
  <bookViews>
    <workbookView xWindow="20370" yWindow="-120" windowWidth="29040" windowHeight="15840" xr2:uid="{FD16F2EA-190C-4379-B7E8-27B36C7CA8F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41" i="1" l="1"/>
  <c r="H40" i="1"/>
  <c r="H34" i="1"/>
  <c r="H35" i="1"/>
  <c r="H36" i="1"/>
  <c r="H37" i="1"/>
  <c r="H38" i="1"/>
  <c r="H39" i="1"/>
  <c r="H33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2" i="1"/>
</calcChain>
</file>

<file path=xl/sharedStrings.xml><?xml version="1.0" encoding="utf-8"?>
<sst xmlns="http://schemas.openxmlformats.org/spreadsheetml/2006/main" count="83" uniqueCount="83">
  <si>
    <t>Componente</t>
  </si>
  <si>
    <t xml:space="preserve">Codigo JLC </t>
  </si>
  <si>
    <t>Cantidad</t>
  </si>
  <si>
    <t>Precio</t>
  </si>
  <si>
    <t>Total</t>
  </si>
  <si>
    <t>CL10B104KA8NNNC</t>
  </si>
  <si>
    <t>C1590</t>
  </si>
  <si>
    <t>TAJA226K006RNJ</t>
  </si>
  <si>
    <t>C7182</t>
  </si>
  <si>
    <t>CL31A226KPHNNNE</t>
  </si>
  <si>
    <t>C5672</t>
  </si>
  <si>
    <t>BZT52C3V3-7-F</t>
  </si>
  <si>
    <t>C151564</t>
  </si>
  <si>
    <t>BZT52C5V1-7-F</t>
  </si>
  <si>
    <t>C151588</t>
  </si>
  <si>
    <t xml:space="preserve"> C1975954</t>
  </si>
  <si>
    <t>1N6267A-E3/54</t>
  </si>
  <si>
    <t>KT-0805G</t>
  </si>
  <si>
    <t>C2297</t>
  </si>
  <si>
    <t>KT-0805Y</t>
  </si>
  <si>
    <t>C2296</t>
  </si>
  <si>
    <t>KT-0603R</t>
  </si>
  <si>
    <t>C2286</t>
  </si>
  <si>
    <t>HX PH254-01-03-Z-L11.5 pcb pin header</t>
  </si>
  <si>
    <t>C52016391</t>
  </si>
  <si>
    <t>C381116</t>
  </si>
  <si>
    <t>DC-005-5A-2.0</t>
  </si>
  <si>
    <t>C192781</t>
  </si>
  <si>
    <t>WJ127-5.0-06P-14-00A</t>
  </si>
  <si>
    <t>C3703</t>
  </si>
  <si>
    <t>WJ127-5.0-02P-14-00A</t>
  </si>
  <si>
    <t xml:space="preserve"> C68234</t>
  </si>
  <si>
    <t>2.54-2*8PPin</t>
  </si>
  <si>
    <t>C65114</t>
  </si>
  <si>
    <t>2.54-2*3PPin</t>
  </si>
  <si>
    <t>C157925</t>
  </si>
  <si>
    <t>S4B-XH-A(LF)(SN)</t>
  </si>
  <si>
    <t>C157928</t>
  </si>
  <si>
    <t>S3B-XH-A(LF)(SN)</t>
  </si>
  <si>
    <t>C9138</t>
  </si>
  <si>
    <t>2.54-2*20P Straight IDC Header, No Ejector</t>
  </si>
  <si>
    <t>C2988369</t>
  </si>
  <si>
    <t>GT-USB-7010ASV</t>
  </si>
  <si>
    <t>C35449</t>
  </si>
  <si>
    <t>SRD-05VDC-SL-C</t>
  </si>
  <si>
    <t>C2624</t>
  </si>
  <si>
    <t>IRFR5305TRPBF</t>
  </si>
  <si>
    <t>C22367220</t>
  </si>
  <si>
    <t>IRLML6344PBF-HXY</t>
  </si>
  <si>
    <t>C1469</t>
  </si>
  <si>
    <t>1206W4J0102T5E</t>
  </si>
  <si>
    <t>C25664</t>
  </si>
  <si>
    <t>1206W4J0473T5E</t>
  </si>
  <si>
    <t>C61302</t>
  </si>
  <si>
    <t>CFR0W4J0473A50</t>
  </si>
  <si>
    <t>C26046</t>
  </si>
  <si>
    <t>1206W4J0682T5E</t>
  </si>
  <si>
    <t>C706486</t>
  </si>
  <si>
    <t>YC248-JR-074K7L</t>
  </si>
  <si>
    <t xml:space="preserve"> C1489</t>
  </si>
  <si>
    <t>1206W4J0103T5E</t>
  </si>
  <si>
    <t>C25378</t>
  </si>
  <si>
    <t>1206W4J0391T5E</t>
  </si>
  <si>
    <t xml:space="preserve"> C26043</t>
  </si>
  <si>
    <t>1206W4J0472T5E</t>
  </si>
  <si>
    <t>C6186</t>
  </si>
  <si>
    <t>AMS1117-3.3</t>
  </si>
  <si>
    <t>C558584</t>
  </si>
  <si>
    <t>MCP23017T-E/SS</t>
  </si>
  <si>
    <t>C555456</t>
  </si>
  <si>
    <t>TCA9548ARGER</t>
  </si>
  <si>
    <t>C2913199</t>
  </si>
  <si>
    <t>ESP32-S3-WROOM-1-N16</t>
  </si>
  <si>
    <t>C36936655</t>
  </si>
  <si>
    <t>TS1201-TZ25HAM</t>
  </si>
  <si>
    <t>C58615</t>
  </si>
  <si>
    <t>MFR0W4F2701A50</t>
  </si>
  <si>
    <t>C25356</t>
  </si>
  <si>
    <t>1206W4J0181T5E</t>
  </si>
  <si>
    <t>C26044</t>
  </si>
  <si>
    <t>1206W4J0512T5E</t>
  </si>
  <si>
    <t>TOTAL</t>
  </si>
  <si>
    <t>TOTAL X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</si>
</sst>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\ * #,##0.00_-;\-&quot;$&quot;\ * #,##0.00_-;_-&quot;$&quot;\ 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6">
    <xf numFmtId="0" fontId="0" fillId="0" borderId="0" xfId="0"/>
    <xf numFmtId="44" fontId="0" fillId="0" borderId="0" xfId="1" applyFont="1"/>
    <xf numFmtId="0" fontId="0" fillId="0" borderId="0" xfId="1" applyNumberFormat="1" applyFont="1"/>
    <xf numFmtId="0" fontId="0" fillId="0" borderId="0" xfId="0" applyNumberFormat="1" applyAlignment="1">
      <alignment horizontal="center"/>
    </xf>
    <xf numFmtId="44" fontId="0" fillId="0" borderId="0" xfId="0" applyNumberFormat="1"/>
    <xf numFmtId="44" fontId="0" fillId="2" borderId="0" xfId="1" applyFont="1" applyFill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5DED7-FF9F-4FB6-9DE3-3A5D6F548795}">
  <dimension ref="D1:N43"/>
  <sheetViews>
    <sheetView tabSelected="1" topLeftCell="LLC13" workbookViewId="0">
      <selection activeCell="LLY41" sqref="LLY41"/>
    </sheetView>
  </sheetViews>
  <sheetFormatPr baseColWidth="10" defaultRowHeight="15" x14ac:dyDescent="0.25"/>
  <cols>
    <col min="4" max="4" width="34.28515625" customWidth="1"/>
    <col min="5" max="5" width="19.42578125" customWidth="1"/>
    <col min="6" max="6" width="16.28515625" customWidth="1"/>
    <col min="7" max="7" width="18.7109375" customWidth="1"/>
    <col min="8" max="8" width="23" customWidth="1"/>
  </cols>
  <sheetData>
    <row r="1" spans="4:11" x14ac:dyDescent="0.25">
      <c r="D1" t="s">
        <v>0</v>
      </c>
      <c r="E1" t="s">
        <v>1</v>
      </c>
      <c r="F1" t="s">
        <v>2</v>
      </c>
      <c r="G1" t="s">
        <v>3</v>
      </c>
      <c r="H1" t="s">
        <v>4</v>
      </c>
    </row>
    <row r="2" spans="4:11" x14ac:dyDescent="0.25">
      <c r="D2" t="s">
        <v>5</v>
      </c>
      <c r="E2" t="s">
        <v>6</v>
      </c>
      <c r="F2" s="3">
        <v>6</v>
      </c>
      <c r="G2" s="1">
        <v>3.5999999999999999E-3</v>
      </c>
      <c r="H2" s="1">
        <f>F2*G2</f>
        <v>2.1600000000000001E-2</v>
      </c>
    </row>
    <row r="3" spans="4:11" x14ac:dyDescent="0.25">
      <c r="D3" t="s">
        <v>7</v>
      </c>
      <c r="E3" t="s">
        <v>8</v>
      </c>
      <c r="F3" s="3">
        <v>2</v>
      </c>
      <c r="G3" s="1">
        <v>0.18</v>
      </c>
      <c r="H3" s="1">
        <f t="shared" ref="H3:H34" si="0">F3*G3</f>
        <v>0.36</v>
      </c>
    </row>
    <row r="4" spans="4:11" x14ac:dyDescent="0.25">
      <c r="D4" t="s">
        <v>9</v>
      </c>
      <c r="E4" t="s">
        <v>10</v>
      </c>
      <c r="F4" s="3">
        <v>1</v>
      </c>
      <c r="G4" s="1">
        <v>4.2500000000000003E-2</v>
      </c>
      <c r="H4" s="1">
        <f t="shared" si="0"/>
        <v>4.2500000000000003E-2</v>
      </c>
      <c r="K4" s="4"/>
    </row>
    <row r="5" spans="4:11" x14ac:dyDescent="0.25">
      <c r="D5" t="s">
        <v>11</v>
      </c>
      <c r="E5" t="s">
        <v>12</v>
      </c>
      <c r="F5" s="3">
        <v>1</v>
      </c>
      <c r="G5" s="1">
        <v>3.4700000000000002E-2</v>
      </c>
      <c r="H5" s="1">
        <f t="shared" si="0"/>
        <v>3.4700000000000002E-2</v>
      </c>
    </row>
    <row r="6" spans="4:11" x14ac:dyDescent="0.25">
      <c r="D6" t="s">
        <v>13</v>
      </c>
      <c r="E6" t="s">
        <v>14</v>
      </c>
      <c r="F6" s="3">
        <v>1</v>
      </c>
      <c r="G6" s="1">
        <v>4.1700000000000001E-2</v>
      </c>
      <c r="H6" s="1">
        <f t="shared" si="0"/>
        <v>4.1700000000000001E-2</v>
      </c>
    </row>
    <row r="7" spans="4:11" x14ac:dyDescent="0.25">
      <c r="D7" t="s">
        <v>16</v>
      </c>
      <c r="E7" t="s">
        <v>15</v>
      </c>
      <c r="F7" s="3">
        <v>2</v>
      </c>
      <c r="G7" s="1">
        <v>0.85450000000000004</v>
      </c>
      <c r="H7" s="1">
        <f t="shared" si="0"/>
        <v>1.7090000000000001</v>
      </c>
    </row>
    <row r="8" spans="4:11" x14ac:dyDescent="0.25">
      <c r="D8" t="s">
        <v>17</v>
      </c>
      <c r="E8" t="s">
        <v>18</v>
      </c>
      <c r="F8" s="3">
        <v>1</v>
      </c>
      <c r="G8" s="1">
        <v>1.5699999999999999E-2</v>
      </c>
      <c r="H8" s="1">
        <f t="shared" si="0"/>
        <v>1.5699999999999999E-2</v>
      </c>
    </row>
    <row r="9" spans="4:11" x14ac:dyDescent="0.25">
      <c r="D9" t="s">
        <v>19</v>
      </c>
      <c r="E9" t="s">
        <v>20</v>
      </c>
      <c r="F9" s="3">
        <v>1</v>
      </c>
      <c r="G9" s="1">
        <v>1.4800000000000001E-2</v>
      </c>
      <c r="H9" s="1">
        <f t="shared" si="0"/>
        <v>1.4800000000000001E-2</v>
      </c>
    </row>
    <row r="10" spans="4:11" x14ac:dyDescent="0.25">
      <c r="D10" t="s">
        <v>21</v>
      </c>
      <c r="E10" t="s">
        <v>22</v>
      </c>
      <c r="F10" s="3">
        <v>1</v>
      </c>
      <c r="G10" s="1">
        <v>6.4000000000000003E-3</v>
      </c>
      <c r="H10" s="1">
        <f t="shared" si="0"/>
        <v>6.4000000000000003E-3</v>
      </c>
    </row>
    <row r="11" spans="4:11" x14ac:dyDescent="0.25">
      <c r="D11" t="s">
        <v>23</v>
      </c>
      <c r="E11" t="s">
        <v>24</v>
      </c>
      <c r="F11" s="3">
        <v>1</v>
      </c>
      <c r="G11" s="1">
        <v>2.4400000000000002E-2</v>
      </c>
      <c r="H11" s="1">
        <f t="shared" si="0"/>
        <v>2.4400000000000002E-2</v>
      </c>
    </row>
    <row r="12" spans="4:11" x14ac:dyDescent="0.25">
      <c r="D12" t="s">
        <v>26</v>
      </c>
      <c r="E12" t="s">
        <v>25</v>
      </c>
      <c r="F12" s="3">
        <v>2</v>
      </c>
      <c r="G12" s="1">
        <v>0.23</v>
      </c>
      <c r="H12" s="1">
        <f t="shared" si="0"/>
        <v>0.46</v>
      </c>
    </row>
    <row r="13" spans="4:11" x14ac:dyDescent="0.25">
      <c r="D13" t="s">
        <v>28</v>
      </c>
      <c r="E13" t="s">
        <v>27</v>
      </c>
      <c r="F13" s="3">
        <v>1</v>
      </c>
      <c r="G13" s="1">
        <v>0.42</v>
      </c>
      <c r="H13" s="1">
        <f t="shared" si="0"/>
        <v>0.42</v>
      </c>
    </row>
    <row r="14" spans="4:11" x14ac:dyDescent="0.25">
      <c r="D14" t="s">
        <v>30</v>
      </c>
      <c r="E14" t="s">
        <v>29</v>
      </c>
      <c r="F14" s="3">
        <v>2</v>
      </c>
      <c r="G14" s="1">
        <v>0.12</v>
      </c>
      <c r="H14" s="1">
        <f t="shared" si="0"/>
        <v>0.24</v>
      </c>
    </row>
    <row r="15" spans="4:11" x14ac:dyDescent="0.25">
      <c r="D15" t="s">
        <v>32</v>
      </c>
      <c r="E15" t="s">
        <v>31</v>
      </c>
      <c r="F15" s="3">
        <v>3</v>
      </c>
      <c r="G15" s="1">
        <v>0.01</v>
      </c>
      <c r="H15" s="1">
        <f t="shared" si="0"/>
        <v>0.03</v>
      </c>
    </row>
    <row r="16" spans="4:11" x14ac:dyDescent="0.25">
      <c r="D16" t="s">
        <v>34</v>
      </c>
      <c r="E16" t="s">
        <v>33</v>
      </c>
      <c r="F16" s="3">
        <v>2</v>
      </c>
      <c r="G16" s="1">
        <v>0.04</v>
      </c>
      <c r="H16" s="1">
        <f t="shared" si="0"/>
        <v>0.08</v>
      </c>
    </row>
    <row r="17" spans="4:14" x14ac:dyDescent="0.25">
      <c r="D17" t="s">
        <v>36</v>
      </c>
      <c r="E17" t="s">
        <v>35</v>
      </c>
      <c r="F17" s="3">
        <v>2</v>
      </c>
      <c r="G17" s="1">
        <v>0.1326</v>
      </c>
      <c r="H17" s="1">
        <f t="shared" si="0"/>
        <v>0.26519999999999999</v>
      </c>
      <c r="L17" s="3"/>
      <c r="M17" s="2"/>
      <c r="N17" s="2"/>
    </row>
    <row r="18" spans="4:14" x14ac:dyDescent="0.25">
      <c r="D18" t="s">
        <v>38</v>
      </c>
      <c r="E18" t="s">
        <v>37</v>
      </c>
      <c r="F18" s="3">
        <v>1</v>
      </c>
      <c r="G18" s="1">
        <v>9.01E-2</v>
      </c>
      <c r="H18" s="1">
        <f t="shared" si="0"/>
        <v>9.01E-2</v>
      </c>
    </row>
    <row r="19" spans="4:14" x14ac:dyDescent="0.25">
      <c r="D19" t="s">
        <v>40</v>
      </c>
      <c r="E19" t="s">
        <v>39</v>
      </c>
      <c r="F19" s="3">
        <v>1</v>
      </c>
      <c r="G19" s="1">
        <v>0.24740000000000001</v>
      </c>
      <c r="H19" s="1">
        <f t="shared" si="0"/>
        <v>0.24740000000000001</v>
      </c>
    </row>
    <row r="20" spans="4:14" x14ac:dyDescent="0.25">
      <c r="D20" t="s">
        <v>42</v>
      </c>
      <c r="E20" t="s">
        <v>41</v>
      </c>
      <c r="F20" s="3">
        <v>1</v>
      </c>
      <c r="G20" s="1">
        <v>8.4199999999999997E-2</v>
      </c>
      <c r="H20" s="1">
        <f t="shared" si="0"/>
        <v>8.4199999999999997E-2</v>
      </c>
    </row>
    <row r="21" spans="4:14" x14ac:dyDescent="0.25">
      <c r="D21" t="s">
        <v>44</v>
      </c>
      <c r="E21" t="s">
        <v>43</v>
      </c>
      <c r="F21" s="3">
        <v>2</v>
      </c>
      <c r="G21" s="1">
        <v>0.47470000000000001</v>
      </c>
      <c r="H21" s="1">
        <f t="shared" si="0"/>
        <v>0.94940000000000002</v>
      </c>
    </row>
    <row r="22" spans="4:14" x14ac:dyDescent="0.25">
      <c r="D22" t="s">
        <v>46</v>
      </c>
      <c r="E22" t="s">
        <v>45</v>
      </c>
      <c r="F22" s="3">
        <v>4</v>
      </c>
      <c r="G22" s="1">
        <v>0.3553</v>
      </c>
      <c r="H22" s="1">
        <f t="shared" si="0"/>
        <v>1.4212</v>
      </c>
    </row>
    <row r="23" spans="4:14" x14ac:dyDescent="0.25">
      <c r="D23" t="s">
        <v>48</v>
      </c>
      <c r="E23" t="s">
        <v>47</v>
      </c>
      <c r="F23" s="3">
        <v>5</v>
      </c>
      <c r="G23" s="1">
        <v>0.22889999999999999</v>
      </c>
      <c r="H23" s="1">
        <f t="shared" si="0"/>
        <v>1.1444999999999999</v>
      </c>
    </row>
    <row r="24" spans="4:14" x14ac:dyDescent="0.25">
      <c r="D24" t="s">
        <v>50</v>
      </c>
      <c r="E24" t="s">
        <v>49</v>
      </c>
      <c r="F24" s="3">
        <v>2</v>
      </c>
      <c r="G24" s="1">
        <v>3.0999999999999999E-3</v>
      </c>
      <c r="H24" s="1">
        <f t="shared" si="0"/>
        <v>6.1999999999999998E-3</v>
      </c>
    </row>
    <row r="25" spans="4:14" x14ac:dyDescent="0.25">
      <c r="D25" t="s">
        <v>52</v>
      </c>
      <c r="E25" t="s">
        <v>51</v>
      </c>
      <c r="F25" s="3">
        <v>7</v>
      </c>
      <c r="G25" s="1">
        <v>3.0000000000000001E-3</v>
      </c>
      <c r="H25" s="1">
        <f t="shared" si="0"/>
        <v>2.1000000000000001E-2</v>
      </c>
    </row>
    <row r="26" spans="4:14" x14ac:dyDescent="0.25">
      <c r="D26" t="s">
        <v>54</v>
      </c>
      <c r="E26" t="s">
        <v>53</v>
      </c>
      <c r="F26" s="3">
        <v>1</v>
      </c>
      <c r="G26" s="1">
        <v>0.01</v>
      </c>
      <c r="H26" s="1">
        <f t="shared" si="0"/>
        <v>0.01</v>
      </c>
    </row>
    <row r="27" spans="4:14" x14ac:dyDescent="0.25">
      <c r="D27" t="s">
        <v>56</v>
      </c>
      <c r="E27" t="s">
        <v>55</v>
      </c>
      <c r="F27" s="3">
        <v>2</v>
      </c>
      <c r="G27" s="1">
        <v>2.8E-3</v>
      </c>
      <c r="H27" s="1">
        <f t="shared" si="0"/>
        <v>5.5999999999999999E-3</v>
      </c>
    </row>
    <row r="28" spans="4:14" x14ac:dyDescent="0.25">
      <c r="D28" t="s">
        <v>58</v>
      </c>
      <c r="E28" t="s">
        <v>57</v>
      </c>
      <c r="F28" s="3">
        <v>2</v>
      </c>
      <c r="G28" s="1">
        <v>4.0899999999999999E-2</v>
      </c>
      <c r="H28" s="1">
        <f t="shared" si="0"/>
        <v>8.1799999999999998E-2</v>
      </c>
    </row>
    <row r="29" spans="4:14" x14ac:dyDescent="0.25">
      <c r="D29" t="s">
        <v>60</v>
      </c>
      <c r="E29" t="s">
        <v>59</v>
      </c>
      <c r="F29" s="3">
        <v>3</v>
      </c>
      <c r="G29" s="1">
        <v>2.8E-3</v>
      </c>
      <c r="H29" s="1">
        <f t="shared" si="0"/>
        <v>8.3999999999999995E-3</v>
      </c>
    </row>
    <row r="30" spans="4:14" x14ac:dyDescent="0.25">
      <c r="D30" t="s">
        <v>62</v>
      </c>
      <c r="E30" t="s">
        <v>61</v>
      </c>
      <c r="F30" s="3">
        <v>1</v>
      </c>
      <c r="G30" s="1">
        <v>2.7000000000000001E-3</v>
      </c>
      <c r="H30" s="1">
        <f t="shared" si="0"/>
        <v>2.7000000000000001E-3</v>
      </c>
    </row>
    <row r="31" spans="4:14" x14ac:dyDescent="0.25">
      <c r="D31" t="s">
        <v>64</v>
      </c>
      <c r="E31" t="s">
        <v>63</v>
      </c>
      <c r="F31" s="3">
        <v>3</v>
      </c>
      <c r="G31" s="1">
        <v>3.3999999999999998E-3</v>
      </c>
      <c r="H31" s="1">
        <f t="shared" si="0"/>
        <v>1.0199999999999999E-2</v>
      </c>
    </row>
    <row r="32" spans="4:14" x14ac:dyDescent="0.25">
      <c r="D32" t="s">
        <v>66</v>
      </c>
      <c r="E32" t="s">
        <v>65</v>
      </c>
      <c r="F32" s="3">
        <v>1</v>
      </c>
      <c r="G32" s="1">
        <v>0.19550000000000001</v>
      </c>
      <c r="H32" s="1">
        <f t="shared" si="0"/>
        <v>0.19550000000000001</v>
      </c>
    </row>
    <row r="33" spans="4:8" x14ac:dyDescent="0.25">
      <c r="D33" t="s">
        <v>68</v>
      </c>
      <c r="E33" t="s">
        <v>67</v>
      </c>
      <c r="F33" s="3">
        <v>1</v>
      </c>
      <c r="G33" s="1">
        <v>1.5348999999999999</v>
      </c>
      <c r="H33" s="1">
        <f t="shared" si="0"/>
        <v>1.5348999999999999</v>
      </c>
    </row>
    <row r="34" spans="4:8" x14ac:dyDescent="0.25">
      <c r="D34" t="s">
        <v>70</v>
      </c>
      <c r="E34" t="s">
        <v>69</v>
      </c>
      <c r="F34" s="3">
        <v>1</v>
      </c>
      <c r="G34" s="1">
        <v>0.81489999999999996</v>
      </c>
      <c r="H34" s="2">
        <f t="shared" si="0"/>
        <v>0.81489999999999996</v>
      </c>
    </row>
    <row r="35" spans="4:8" x14ac:dyDescent="0.25">
      <c r="D35" t="s">
        <v>72</v>
      </c>
      <c r="E35" t="s">
        <v>71</v>
      </c>
      <c r="F35" s="3">
        <v>1</v>
      </c>
      <c r="G35" s="1">
        <v>5.2565</v>
      </c>
      <c r="H35" s="1">
        <f t="shared" ref="H35:H43" si="1">F35*G35</f>
        <v>5.2565</v>
      </c>
    </row>
    <row r="36" spans="4:8" x14ac:dyDescent="0.25">
      <c r="D36" t="s">
        <v>74</v>
      </c>
      <c r="E36" t="s">
        <v>73</v>
      </c>
      <c r="F36" s="3">
        <v>2</v>
      </c>
      <c r="G36" s="1">
        <v>3.3799999999999997E-2</v>
      </c>
      <c r="H36" s="1">
        <f t="shared" si="1"/>
        <v>6.7599999999999993E-2</v>
      </c>
    </row>
    <row r="37" spans="4:8" x14ac:dyDescent="0.25">
      <c r="D37" t="s">
        <v>76</v>
      </c>
      <c r="E37" t="s">
        <v>75</v>
      </c>
      <c r="F37" s="3">
        <v>1</v>
      </c>
      <c r="G37" s="1">
        <v>1.18E-2</v>
      </c>
      <c r="H37" s="1">
        <f t="shared" si="1"/>
        <v>1.18E-2</v>
      </c>
    </row>
    <row r="38" spans="4:8" x14ac:dyDescent="0.25">
      <c r="D38" t="s">
        <v>78</v>
      </c>
      <c r="E38" t="s">
        <v>77</v>
      </c>
      <c r="F38" s="3">
        <v>2</v>
      </c>
      <c r="G38" s="1">
        <v>3.0000000000000001E-3</v>
      </c>
      <c r="H38" s="1">
        <f t="shared" si="1"/>
        <v>6.0000000000000001E-3</v>
      </c>
    </row>
    <row r="39" spans="4:8" x14ac:dyDescent="0.25">
      <c r="D39" t="s">
        <v>80</v>
      </c>
      <c r="E39" t="s">
        <v>79</v>
      </c>
      <c r="F39" s="3">
        <v>2</v>
      </c>
      <c r="G39" s="1">
        <v>3.3999999999999998E-3</v>
      </c>
      <c r="H39" s="1">
        <f t="shared" si="1"/>
        <v>6.7999999999999996E-3</v>
      </c>
    </row>
    <row r="40" spans="4:8" x14ac:dyDescent="0.25">
      <c r="G40" s="5" t="s">
        <v>81</v>
      </c>
      <c r="H40" s="5">
        <f>SUM(H2:H39)</f>
        <v>15.742700000000001</v>
      </c>
    </row>
    <row r="41" spans="4:8" x14ac:dyDescent="0.25">
      <c r="G41" s="5" t="s">
        <v>82</v>
      </c>
      <c r="H41" s="5">
        <f>H40*5</f>
        <v>78.71350000000001</v>
      </c>
    </row>
    <row r="42" spans="4:8" x14ac:dyDescent="0.25">
      <c r="G42" s="1"/>
      <c r="H42" s="1"/>
    </row>
    <row r="43" spans="4:8" x14ac:dyDescent="0.25">
      <c r="G43" s="1"/>
      <c r="H4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2026-03-03T17:16:40Z</dcterms:created>
  <dcterms:modified xsi:type="dcterms:W3CDTF">2026-03-03T19:45:27Z</dcterms:modified>
</cp:coreProperties>
</file>